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опущения" sheetId="1" state="visible" r:id="rId1"/>
    <sheet xmlns:r="http://schemas.openxmlformats.org/officeDocument/2006/relationships" name="P&amp;L" sheetId="2" state="visible" r:id="rId2"/>
    <sheet xmlns:r="http://schemas.openxmlformats.org/officeDocument/2006/relationships" name="Итог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 ##0"/>
    <numFmt numFmtId="165" formatCode="0.0%"/>
    <numFmt numFmtId="166" formatCode="# ##0;[Red]-# ##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/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4D6"/>
      </patternFill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164" fontId="0" fillId="2" borderId="1" pivotButton="0" quotePrefix="0" xfId="0"/>
    <xf numFmtId="165" fontId="0" fillId="2" borderId="1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3" fillId="0" borderId="0" pivotButton="0" quotePrefix="0" xfId="0"/>
    <xf numFmtId="166" fontId="0" fillId="0" borderId="0" pivotButton="0" quotePrefix="0" xfId="0"/>
    <xf numFmtId="2" fontId="0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Накопленный денежный поток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'P&amp;L'!$B$12:$Y$12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Операционная прибыль по месяцам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'P&amp;L'!$B$11:$Y$11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19</row>
      <rowOff>0</rowOff>
    </from>
    <ext cx="648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</cols>
  <sheetData>
    <row r="1">
      <c r="A1" s="1" t="inlineStr">
        <is>
          <t>Допущения модели</t>
        </is>
      </c>
    </row>
    <row r="3">
      <c r="A3" t="inlineStr">
        <is>
          <t>Инвестиции в запуск, ₽</t>
        </is>
      </c>
      <c r="B3" s="2" t="n">
        <v>2400000</v>
      </c>
    </row>
    <row r="4">
      <c r="A4" t="inlineStr">
        <is>
          <t>Средний чек, ₽</t>
        </is>
      </c>
      <c r="B4" s="2" t="n">
        <v>390</v>
      </c>
    </row>
    <row r="5">
      <c r="A5" t="inlineStr">
        <is>
          <t>Чеков в день на старте</t>
        </is>
      </c>
      <c r="B5" s="2" t="n">
        <v>70</v>
      </c>
    </row>
    <row r="6">
      <c r="A6" t="inlineStr">
        <is>
          <t>Чеков в день на плато</t>
        </is>
      </c>
      <c r="B6" s="2" t="n">
        <v>190</v>
      </c>
    </row>
    <row r="7">
      <c r="A7" t="inlineStr">
        <is>
          <t>Месяцев до плато</t>
        </is>
      </c>
      <c r="B7" s="2" t="n">
        <v>9</v>
      </c>
    </row>
    <row r="8">
      <c r="A8" t="inlineStr">
        <is>
          <t>Рабочих дней в месяце</t>
        </is>
      </c>
      <c r="B8" s="2" t="n">
        <v>30</v>
      </c>
    </row>
    <row r="9">
      <c r="A9" t="inlineStr">
        <is>
          <t>Себестоимость, % от выручки</t>
        </is>
      </c>
      <c r="B9" s="3" t="n">
        <v>0.31</v>
      </c>
    </row>
    <row r="10">
      <c r="A10" t="inlineStr">
        <is>
          <t>Аренда, ₽/мес</t>
        </is>
      </c>
      <c r="B10" s="2" t="n">
        <v>180000</v>
      </c>
    </row>
    <row r="11">
      <c r="A11" t="inlineStr">
        <is>
          <t>ФОТ, ₽/мес</t>
        </is>
      </c>
      <c r="B11" s="2" t="n">
        <v>420000</v>
      </c>
    </row>
    <row r="12">
      <c r="A12" t="inlineStr">
        <is>
          <t>Прочие постоянные, ₽/мес</t>
        </is>
      </c>
      <c r="B12" s="2" t="n">
        <v>90000</v>
      </c>
    </row>
    <row r="13">
      <c r="A13" t="inlineStr">
        <is>
          <t>Эквайринг и налог, % от выручки</t>
        </is>
      </c>
      <c r="B13" s="3" t="n">
        <v>0.08500000000000001</v>
      </c>
    </row>
    <row r="14">
      <c r="A14" t="inlineStr">
        <is>
          <t>Маркетинг на старте, ₽/мес</t>
        </is>
      </c>
      <c r="B14" s="2" t="n">
        <v>120000</v>
      </c>
    </row>
    <row r="15">
      <c r="A15" t="inlineStr">
        <is>
          <t>Маркетинг после плато, ₽/мес</t>
        </is>
      </c>
      <c r="B15" s="2" t="n">
        <v>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>
      <c r="A1" s="4" t="inlineStr">
        <is>
          <t>Месяц</t>
        </is>
      </c>
      <c r="B1" s="5" t="n">
        <v>1</v>
      </c>
      <c r="C1" s="5" t="n">
        <v>2</v>
      </c>
      <c r="D1" s="5" t="n">
        <v>3</v>
      </c>
      <c r="E1" s="5" t="n">
        <v>4</v>
      </c>
      <c r="F1" s="5" t="n">
        <v>5</v>
      </c>
      <c r="G1" s="5" t="n">
        <v>6</v>
      </c>
      <c r="H1" s="5" t="n">
        <v>7</v>
      </c>
      <c r="I1" s="5" t="n">
        <v>8</v>
      </c>
      <c r="J1" s="5" t="n">
        <v>9</v>
      </c>
      <c r="K1" s="5" t="n">
        <v>10</v>
      </c>
      <c r="L1" s="5" t="n">
        <v>11</v>
      </c>
      <c r="M1" s="5" t="n">
        <v>12</v>
      </c>
      <c r="N1" s="5" t="n">
        <v>13</v>
      </c>
      <c r="O1" s="5" t="n">
        <v>14</v>
      </c>
      <c r="P1" s="5" t="n">
        <v>15</v>
      </c>
      <c r="Q1" s="5" t="n">
        <v>16</v>
      </c>
      <c r="R1" s="5" t="n">
        <v>17</v>
      </c>
      <c r="S1" s="5" t="n">
        <v>18</v>
      </c>
      <c r="T1" s="5" t="n">
        <v>19</v>
      </c>
      <c r="U1" s="5" t="n">
        <v>20</v>
      </c>
      <c r="V1" s="5" t="n">
        <v>21</v>
      </c>
      <c r="W1" s="5" t="n">
        <v>22</v>
      </c>
      <c r="X1" s="5" t="n">
        <v>23</v>
      </c>
      <c r="Y1" s="5" t="n">
        <v>24</v>
      </c>
    </row>
    <row r="2">
      <c r="A2" s="6" t="inlineStr">
        <is>
          <t>Чеков в день</t>
        </is>
      </c>
      <c r="B2" s="7">
        <f>IF(1&gt;=Допущения!$B$7,Допущения!$B$6,Допущения!$B$5+(Допущения!$B$6-Допущения!$B$5)*(1-1)/(Допущения!$B$7-1))</f>
        <v/>
      </c>
      <c r="C2" s="7">
        <f>IF(2&gt;=Допущения!$B$7,Допущения!$B$6,Допущения!$B$5+(Допущения!$B$6-Допущения!$B$5)*(2-1)/(Допущения!$B$7-1))</f>
        <v/>
      </c>
      <c r="D2" s="7">
        <f>IF(3&gt;=Допущения!$B$7,Допущения!$B$6,Допущения!$B$5+(Допущения!$B$6-Допущения!$B$5)*(3-1)/(Допущения!$B$7-1))</f>
        <v/>
      </c>
      <c r="E2" s="7">
        <f>IF(4&gt;=Допущения!$B$7,Допущения!$B$6,Допущения!$B$5+(Допущения!$B$6-Допущения!$B$5)*(4-1)/(Допущения!$B$7-1))</f>
        <v/>
      </c>
      <c r="F2" s="7">
        <f>IF(5&gt;=Допущения!$B$7,Допущения!$B$6,Допущения!$B$5+(Допущения!$B$6-Допущения!$B$5)*(5-1)/(Допущения!$B$7-1))</f>
        <v/>
      </c>
      <c r="G2" s="7">
        <f>IF(6&gt;=Допущения!$B$7,Допущения!$B$6,Допущения!$B$5+(Допущения!$B$6-Допущения!$B$5)*(6-1)/(Допущения!$B$7-1))</f>
        <v/>
      </c>
      <c r="H2" s="7">
        <f>IF(7&gt;=Допущения!$B$7,Допущения!$B$6,Допущения!$B$5+(Допущения!$B$6-Допущения!$B$5)*(7-1)/(Допущения!$B$7-1))</f>
        <v/>
      </c>
      <c r="I2" s="7">
        <f>IF(8&gt;=Допущения!$B$7,Допущения!$B$6,Допущения!$B$5+(Допущения!$B$6-Допущения!$B$5)*(8-1)/(Допущения!$B$7-1))</f>
        <v/>
      </c>
      <c r="J2" s="7">
        <f>IF(9&gt;=Допущения!$B$7,Допущения!$B$6,Допущения!$B$5+(Допущения!$B$6-Допущения!$B$5)*(9-1)/(Допущения!$B$7-1))</f>
        <v/>
      </c>
      <c r="K2" s="7">
        <f>IF(10&gt;=Допущения!$B$7,Допущения!$B$6,Допущения!$B$5+(Допущения!$B$6-Допущения!$B$5)*(10-1)/(Допущения!$B$7-1))</f>
        <v/>
      </c>
      <c r="L2" s="7">
        <f>IF(11&gt;=Допущения!$B$7,Допущения!$B$6,Допущения!$B$5+(Допущения!$B$6-Допущения!$B$5)*(11-1)/(Допущения!$B$7-1))</f>
        <v/>
      </c>
      <c r="M2" s="7">
        <f>IF(12&gt;=Допущения!$B$7,Допущения!$B$6,Допущения!$B$5+(Допущения!$B$6-Допущения!$B$5)*(12-1)/(Допущения!$B$7-1))</f>
        <v/>
      </c>
      <c r="N2" s="7">
        <f>IF(13&gt;=Допущения!$B$7,Допущения!$B$6,Допущения!$B$5+(Допущения!$B$6-Допущения!$B$5)*(13-1)/(Допущения!$B$7-1))</f>
        <v/>
      </c>
      <c r="O2" s="7">
        <f>IF(14&gt;=Допущения!$B$7,Допущения!$B$6,Допущения!$B$5+(Допущения!$B$6-Допущения!$B$5)*(14-1)/(Допущения!$B$7-1))</f>
        <v/>
      </c>
      <c r="P2" s="7">
        <f>IF(15&gt;=Допущения!$B$7,Допущения!$B$6,Допущения!$B$5+(Допущения!$B$6-Допущения!$B$5)*(15-1)/(Допущения!$B$7-1))</f>
        <v/>
      </c>
      <c r="Q2" s="7">
        <f>IF(16&gt;=Допущения!$B$7,Допущения!$B$6,Допущения!$B$5+(Допущения!$B$6-Допущения!$B$5)*(16-1)/(Допущения!$B$7-1))</f>
        <v/>
      </c>
      <c r="R2" s="7">
        <f>IF(17&gt;=Допущения!$B$7,Допущения!$B$6,Допущения!$B$5+(Допущения!$B$6-Допущения!$B$5)*(17-1)/(Допущения!$B$7-1))</f>
        <v/>
      </c>
      <c r="S2" s="7">
        <f>IF(18&gt;=Допущения!$B$7,Допущения!$B$6,Допущения!$B$5+(Допущения!$B$6-Допущения!$B$5)*(18-1)/(Допущения!$B$7-1))</f>
        <v/>
      </c>
      <c r="T2" s="7">
        <f>IF(19&gt;=Допущения!$B$7,Допущения!$B$6,Допущения!$B$5+(Допущения!$B$6-Допущения!$B$5)*(19-1)/(Допущения!$B$7-1))</f>
        <v/>
      </c>
      <c r="U2" s="7">
        <f>IF(20&gt;=Допущения!$B$7,Допущения!$B$6,Допущения!$B$5+(Допущения!$B$6-Допущения!$B$5)*(20-1)/(Допущения!$B$7-1))</f>
        <v/>
      </c>
      <c r="V2" s="7">
        <f>IF(21&gt;=Допущения!$B$7,Допущения!$B$6,Допущения!$B$5+(Допущения!$B$6-Допущения!$B$5)*(21-1)/(Допущения!$B$7-1))</f>
        <v/>
      </c>
      <c r="W2" s="7">
        <f>IF(22&gt;=Допущения!$B$7,Допущения!$B$6,Допущения!$B$5+(Допущения!$B$6-Допущения!$B$5)*(22-1)/(Допущения!$B$7-1))</f>
        <v/>
      </c>
      <c r="X2" s="7">
        <f>IF(23&gt;=Допущения!$B$7,Допущения!$B$6,Допущения!$B$5+(Допущения!$B$6-Допущения!$B$5)*(23-1)/(Допущения!$B$7-1))</f>
        <v/>
      </c>
      <c r="Y2" s="7">
        <f>IF(24&gt;=Допущения!$B$7,Допущения!$B$6,Допущения!$B$5+(Допущения!$B$6-Допущения!$B$5)*(24-1)/(Допущения!$B$7-1))</f>
        <v/>
      </c>
    </row>
    <row r="3">
      <c r="A3" s="4" t="inlineStr">
        <is>
          <t>Выручка</t>
        </is>
      </c>
      <c r="B3" s="7">
        <f>B2*B14*Допущения!$B$4*Допущения!$B$8</f>
        <v/>
      </c>
      <c r="C3" s="7">
        <f>C2*C14*Допущения!$B$4*Допущения!$B$8</f>
        <v/>
      </c>
      <c r="D3" s="7">
        <f>D2*D14*Допущения!$B$4*Допущения!$B$8</f>
        <v/>
      </c>
      <c r="E3" s="7">
        <f>E2*E14*Допущения!$B$4*Допущения!$B$8</f>
        <v/>
      </c>
      <c r="F3" s="7">
        <f>F2*F14*Допущения!$B$4*Допущения!$B$8</f>
        <v/>
      </c>
      <c r="G3" s="7">
        <f>G2*G14*Допущения!$B$4*Допущения!$B$8</f>
        <v/>
      </c>
      <c r="H3" s="7">
        <f>H2*H14*Допущения!$B$4*Допущения!$B$8</f>
        <v/>
      </c>
      <c r="I3" s="7">
        <f>I2*I14*Допущения!$B$4*Допущения!$B$8</f>
        <v/>
      </c>
      <c r="J3" s="7">
        <f>J2*J14*Допущения!$B$4*Допущения!$B$8</f>
        <v/>
      </c>
      <c r="K3" s="7">
        <f>K2*K14*Допущения!$B$4*Допущения!$B$8</f>
        <v/>
      </c>
      <c r="L3" s="7">
        <f>L2*L14*Допущения!$B$4*Допущения!$B$8</f>
        <v/>
      </c>
      <c r="M3" s="7">
        <f>M2*M14*Допущения!$B$4*Допущения!$B$8</f>
        <v/>
      </c>
      <c r="N3" s="7">
        <f>N2*N14*Допущения!$B$4*Допущения!$B$8</f>
        <v/>
      </c>
      <c r="O3" s="7">
        <f>O2*O14*Допущения!$B$4*Допущения!$B$8</f>
        <v/>
      </c>
      <c r="P3" s="7">
        <f>P2*P14*Допущения!$B$4*Допущения!$B$8</f>
        <v/>
      </c>
      <c r="Q3" s="7">
        <f>Q2*Q14*Допущения!$B$4*Допущения!$B$8</f>
        <v/>
      </c>
      <c r="R3" s="7">
        <f>R2*R14*Допущения!$B$4*Допущения!$B$8</f>
        <v/>
      </c>
      <c r="S3" s="7">
        <f>S2*S14*Допущения!$B$4*Допущения!$B$8</f>
        <v/>
      </c>
      <c r="T3" s="7">
        <f>T2*T14*Допущения!$B$4*Допущения!$B$8</f>
        <v/>
      </c>
      <c r="U3" s="7">
        <f>U2*U14*Допущения!$B$4*Допущения!$B$8</f>
        <v/>
      </c>
      <c r="V3" s="7">
        <f>V2*V14*Допущения!$B$4*Допущения!$B$8</f>
        <v/>
      </c>
      <c r="W3" s="7">
        <f>W2*W14*Допущения!$B$4*Допущения!$B$8</f>
        <v/>
      </c>
      <c r="X3" s="7">
        <f>X2*X14*Допущения!$B$4*Допущения!$B$8</f>
        <v/>
      </c>
      <c r="Y3" s="7">
        <f>Y2*Y14*Допущения!$B$4*Допущения!$B$8</f>
        <v/>
      </c>
    </row>
    <row r="4">
      <c r="A4" s="6" t="inlineStr">
        <is>
          <t>Себестоимость</t>
        </is>
      </c>
      <c r="B4" s="7">
        <f>-B3*Допущения!$B$9</f>
        <v/>
      </c>
      <c r="C4" s="7">
        <f>-C3*Допущения!$B$9</f>
        <v/>
      </c>
      <c r="D4" s="7">
        <f>-D3*Допущения!$B$9</f>
        <v/>
      </c>
      <c r="E4" s="7">
        <f>-E3*Допущения!$B$9</f>
        <v/>
      </c>
      <c r="F4" s="7">
        <f>-F3*Допущения!$B$9</f>
        <v/>
      </c>
      <c r="G4" s="7">
        <f>-G3*Допущения!$B$9</f>
        <v/>
      </c>
      <c r="H4" s="7">
        <f>-H3*Допущения!$B$9</f>
        <v/>
      </c>
      <c r="I4" s="7">
        <f>-I3*Допущения!$B$9</f>
        <v/>
      </c>
      <c r="J4" s="7">
        <f>-J3*Допущения!$B$9</f>
        <v/>
      </c>
      <c r="K4" s="7">
        <f>-K3*Допущения!$B$9</f>
        <v/>
      </c>
      <c r="L4" s="7">
        <f>-L3*Допущения!$B$9</f>
        <v/>
      </c>
      <c r="M4" s="7">
        <f>-M3*Допущения!$B$9</f>
        <v/>
      </c>
      <c r="N4" s="7">
        <f>-N3*Допущения!$B$9</f>
        <v/>
      </c>
      <c r="O4" s="7">
        <f>-O3*Допущения!$B$9</f>
        <v/>
      </c>
      <c r="P4" s="7">
        <f>-P3*Допущения!$B$9</f>
        <v/>
      </c>
      <c r="Q4" s="7">
        <f>-Q3*Допущения!$B$9</f>
        <v/>
      </c>
      <c r="R4" s="7">
        <f>-R3*Допущения!$B$9</f>
        <v/>
      </c>
      <c r="S4" s="7">
        <f>-S3*Допущения!$B$9</f>
        <v/>
      </c>
      <c r="T4" s="7">
        <f>-T3*Допущения!$B$9</f>
        <v/>
      </c>
      <c r="U4" s="7">
        <f>-U3*Допущения!$B$9</f>
        <v/>
      </c>
      <c r="V4" s="7">
        <f>-V3*Допущения!$B$9</f>
        <v/>
      </c>
      <c r="W4" s="7">
        <f>-W3*Допущения!$B$9</f>
        <v/>
      </c>
      <c r="X4" s="7">
        <f>-X3*Допущения!$B$9</f>
        <v/>
      </c>
      <c r="Y4" s="7">
        <f>-Y3*Допущения!$B$9</f>
        <v/>
      </c>
    </row>
    <row r="5">
      <c r="A5" s="4" t="inlineStr">
        <is>
          <t>Валовая прибыль</t>
        </is>
      </c>
      <c r="B5" s="7">
        <f>B3+B4</f>
        <v/>
      </c>
      <c r="C5" s="7">
        <f>C3+C4</f>
        <v/>
      </c>
      <c r="D5" s="7">
        <f>D3+D4</f>
        <v/>
      </c>
      <c r="E5" s="7">
        <f>E3+E4</f>
        <v/>
      </c>
      <c r="F5" s="7">
        <f>F3+F4</f>
        <v/>
      </c>
      <c r="G5" s="7">
        <f>G3+G4</f>
        <v/>
      </c>
      <c r="H5" s="7">
        <f>H3+H4</f>
        <v/>
      </c>
      <c r="I5" s="7">
        <f>I3+I4</f>
        <v/>
      </c>
      <c r="J5" s="7">
        <f>J3+J4</f>
        <v/>
      </c>
      <c r="K5" s="7">
        <f>K3+K4</f>
        <v/>
      </c>
      <c r="L5" s="7">
        <f>L3+L4</f>
        <v/>
      </c>
      <c r="M5" s="7">
        <f>M3+M4</f>
        <v/>
      </c>
      <c r="N5" s="7">
        <f>N3+N4</f>
        <v/>
      </c>
      <c r="O5" s="7">
        <f>O3+O4</f>
        <v/>
      </c>
      <c r="P5" s="7">
        <f>P3+P4</f>
        <v/>
      </c>
      <c r="Q5" s="7">
        <f>Q3+Q4</f>
        <v/>
      </c>
      <c r="R5" s="7">
        <f>R3+R4</f>
        <v/>
      </c>
      <c r="S5" s="7">
        <f>S3+S4</f>
        <v/>
      </c>
      <c r="T5" s="7">
        <f>T3+T4</f>
        <v/>
      </c>
      <c r="U5" s="7">
        <f>U3+U4</f>
        <v/>
      </c>
      <c r="V5" s="7">
        <f>V3+V4</f>
        <v/>
      </c>
      <c r="W5" s="7">
        <f>W3+W4</f>
        <v/>
      </c>
      <c r="X5" s="7">
        <f>X3+X4</f>
        <v/>
      </c>
      <c r="Y5" s="7">
        <f>Y3+Y4</f>
        <v/>
      </c>
    </row>
    <row r="6">
      <c r="A6" s="6" t="inlineStr">
        <is>
          <t>Аренда</t>
        </is>
      </c>
      <c r="B6" s="7">
        <f>-Допущения!$B$10</f>
        <v/>
      </c>
      <c r="C6" s="7">
        <f>-Допущения!$B$10</f>
        <v/>
      </c>
      <c r="D6" s="7">
        <f>-Допущения!$B$10</f>
        <v/>
      </c>
      <c r="E6" s="7">
        <f>-Допущения!$B$10</f>
        <v/>
      </c>
      <c r="F6" s="7">
        <f>-Допущения!$B$10</f>
        <v/>
      </c>
      <c r="G6" s="7">
        <f>-Допущения!$B$10</f>
        <v/>
      </c>
      <c r="H6" s="7">
        <f>-Допущения!$B$10</f>
        <v/>
      </c>
      <c r="I6" s="7">
        <f>-Допущения!$B$10</f>
        <v/>
      </c>
      <c r="J6" s="7">
        <f>-Допущения!$B$10</f>
        <v/>
      </c>
      <c r="K6" s="7">
        <f>-Допущения!$B$10</f>
        <v/>
      </c>
      <c r="L6" s="7">
        <f>-Допущения!$B$10</f>
        <v/>
      </c>
      <c r="M6" s="7">
        <f>-Допущения!$B$10</f>
        <v/>
      </c>
      <c r="N6" s="7">
        <f>-Допущения!$B$10</f>
        <v/>
      </c>
      <c r="O6" s="7">
        <f>-Допущения!$B$10</f>
        <v/>
      </c>
      <c r="P6" s="7">
        <f>-Допущения!$B$10</f>
        <v/>
      </c>
      <c r="Q6" s="7">
        <f>-Допущения!$B$10</f>
        <v/>
      </c>
      <c r="R6" s="7">
        <f>-Допущения!$B$10</f>
        <v/>
      </c>
      <c r="S6" s="7">
        <f>-Допущения!$B$10</f>
        <v/>
      </c>
      <c r="T6" s="7">
        <f>-Допущения!$B$10</f>
        <v/>
      </c>
      <c r="U6" s="7">
        <f>-Допущения!$B$10</f>
        <v/>
      </c>
      <c r="V6" s="7">
        <f>-Допущения!$B$10</f>
        <v/>
      </c>
      <c r="W6" s="7">
        <f>-Допущения!$B$10</f>
        <v/>
      </c>
      <c r="X6" s="7">
        <f>-Допущения!$B$10</f>
        <v/>
      </c>
      <c r="Y6" s="7">
        <f>-Допущения!$B$10</f>
        <v/>
      </c>
    </row>
    <row r="7">
      <c r="A7" s="6" t="inlineStr">
        <is>
          <t>ФОТ</t>
        </is>
      </c>
      <c r="B7" s="7">
        <f>-Допущения!$B$11</f>
        <v/>
      </c>
      <c r="C7" s="7">
        <f>-Допущения!$B$11</f>
        <v/>
      </c>
      <c r="D7" s="7">
        <f>-Допущения!$B$11</f>
        <v/>
      </c>
      <c r="E7" s="7">
        <f>-Допущения!$B$11</f>
        <v/>
      </c>
      <c r="F7" s="7">
        <f>-Допущения!$B$11</f>
        <v/>
      </c>
      <c r="G7" s="7">
        <f>-Допущения!$B$11</f>
        <v/>
      </c>
      <c r="H7" s="7">
        <f>-Допущения!$B$11</f>
        <v/>
      </c>
      <c r="I7" s="7">
        <f>-Допущения!$B$11</f>
        <v/>
      </c>
      <c r="J7" s="7">
        <f>-Допущения!$B$11</f>
        <v/>
      </c>
      <c r="K7" s="7">
        <f>-Допущения!$B$11</f>
        <v/>
      </c>
      <c r="L7" s="7">
        <f>-Допущения!$B$11</f>
        <v/>
      </c>
      <c r="M7" s="7">
        <f>-Допущения!$B$11</f>
        <v/>
      </c>
      <c r="N7" s="7">
        <f>-Допущения!$B$11</f>
        <v/>
      </c>
      <c r="O7" s="7">
        <f>-Допущения!$B$11</f>
        <v/>
      </c>
      <c r="P7" s="7">
        <f>-Допущения!$B$11</f>
        <v/>
      </c>
      <c r="Q7" s="7">
        <f>-Допущения!$B$11</f>
        <v/>
      </c>
      <c r="R7" s="7">
        <f>-Допущения!$B$11</f>
        <v/>
      </c>
      <c r="S7" s="7">
        <f>-Допущения!$B$11</f>
        <v/>
      </c>
      <c r="T7" s="7">
        <f>-Допущения!$B$11</f>
        <v/>
      </c>
      <c r="U7" s="7">
        <f>-Допущения!$B$11</f>
        <v/>
      </c>
      <c r="V7" s="7">
        <f>-Допущения!$B$11</f>
        <v/>
      </c>
      <c r="W7" s="7">
        <f>-Допущения!$B$11</f>
        <v/>
      </c>
      <c r="X7" s="7">
        <f>-Допущения!$B$11</f>
        <v/>
      </c>
      <c r="Y7" s="7">
        <f>-Допущения!$B$11</f>
        <v/>
      </c>
    </row>
    <row r="8">
      <c r="A8" s="6" t="inlineStr">
        <is>
          <t>Маркетинг</t>
        </is>
      </c>
      <c r="B8" s="7">
        <f>-IF(1&gt;=Допущения!$B$7,Допущения!$B$15,Допущения!$B$14)</f>
        <v/>
      </c>
      <c r="C8" s="7">
        <f>-IF(2&gt;=Допущения!$B$7,Допущения!$B$15,Допущения!$B$14)</f>
        <v/>
      </c>
      <c r="D8" s="7">
        <f>-IF(3&gt;=Допущения!$B$7,Допущения!$B$15,Допущения!$B$14)</f>
        <v/>
      </c>
      <c r="E8" s="7">
        <f>-IF(4&gt;=Допущения!$B$7,Допущения!$B$15,Допущения!$B$14)</f>
        <v/>
      </c>
      <c r="F8" s="7">
        <f>-IF(5&gt;=Допущения!$B$7,Допущения!$B$15,Допущения!$B$14)</f>
        <v/>
      </c>
      <c r="G8" s="7">
        <f>-IF(6&gt;=Допущения!$B$7,Допущения!$B$15,Допущения!$B$14)</f>
        <v/>
      </c>
      <c r="H8" s="7">
        <f>-IF(7&gt;=Допущения!$B$7,Допущения!$B$15,Допущения!$B$14)</f>
        <v/>
      </c>
      <c r="I8" s="7">
        <f>-IF(8&gt;=Допущения!$B$7,Допущения!$B$15,Допущения!$B$14)</f>
        <v/>
      </c>
      <c r="J8" s="7">
        <f>-IF(9&gt;=Допущения!$B$7,Допущения!$B$15,Допущения!$B$14)</f>
        <v/>
      </c>
      <c r="K8" s="7">
        <f>-IF(10&gt;=Допущения!$B$7,Допущения!$B$15,Допущения!$B$14)</f>
        <v/>
      </c>
      <c r="L8" s="7">
        <f>-IF(11&gt;=Допущения!$B$7,Допущения!$B$15,Допущения!$B$14)</f>
        <v/>
      </c>
      <c r="M8" s="7">
        <f>-IF(12&gt;=Допущения!$B$7,Допущения!$B$15,Допущения!$B$14)</f>
        <v/>
      </c>
      <c r="N8" s="7">
        <f>-IF(13&gt;=Допущения!$B$7,Допущения!$B$15,Допущения!$B$14)</f>
        <v/>
      </c>
      <c r="O8" s="7">
        <f>-IF(14&gt;=Допущения!$B$7,Допущения!$B$15,Допущения!$B$14)</f>
        <v/>
      </c>
      <c r="P8" s="7">
        <f>-IF(15&gt;=Допущения!$B$7,Допущения!$B$15,Допущения!$B$14)</f>
        <v/>
      </c>
      <c r="Q8" s="7">
        <f>-IF(16&gt;=Допущения!$B$7,Допущения!$B$15,Допущения!$B$14)</f>
        <v/>
      </c>
      <c r="R8" s="7">
        <f>-IF(17&gt;=Допущения!$B$7,Допущения!$B$15,Допущения!$B$14)</f>
        <v/>
      </c>
      <c r="S8" s="7">
        <f>-IF(18&gt;=Допущения!$B$7,Допущения!$B$15,Допущения!$B$14)</f>
        <v/>
      </c>
      <c r="T8" s="7">
        <f>-IF(19&gt;=Допущения!$B$7,Допущения!$B$15,Допущения!$B$14)</f>
        <v/>
      </c>
      <c r="U8" s="7">
        <f>-IF(20&gt;=Допущения!$B$7,Допущения!$B$15,Допущения!$B$14)</f>
        <v/>
      </c>
      <c r="V8" s="7">
        <f>-IF(21&gt;=Допущения!$B$7,Допущения!$B$15,Допущения!$B$14)</f>
        <v/>
      </c>
      <c r="W8" s="7">
        <f>-IF(22&gt;=Допущения!$B$7,Допущения!$B$15,Допущения!$B$14)</f>
        <v/>
      </c>
      <c r="X8" s="7">
        <f>-IF(23&gt;=Допущения!$B$7,Допущения!$B$15,Допущения!$B$14)</f>
        <v/>
      </c>
      <c r="Y8" s="7">
        <f>-IF(24&gt;=Допущения!$B$7,Допущения!$B$15,Допущения!$B$14)</f>
        <v/>
      </c>
    </row>
    <row r="9">
      <c r="A9" s="6" t="inlineStr">
        <is>
          <t>Прочие постоянные</t>
        </is>
      </c>
      <c r="B9" s="7">
        <f>-Допущения!$B$12</f>
        <v/>
      </c>
      <c r="C9" s="7">
        <f>-Допущения!$B$12</f>
        <v/>
      </c>
      <c r="D9" s="7">
        <f>-Допущения!$B$12</f>
        <v/>
      </c>
      <c r="E9" s="7">
        <f>-Допущения!$B$12</f>
        <v/>
      </c>
      <c r="F9" s="7">
        <f>-Допущения!$B$12</f>
        <v/>
      </c>
      <c r="G9" s="7">
        <f>-Допущения!$B$12</f>
        <v/>
      </c>
      <c r="H9" s="7">
        <f>-Допущения!$B$12</f>
        <v/>
      </c>
      <c r="I9" s="7">
        <f>-Допущения!$B$12</f>
        <v/>
      </c>
      <c r="J9" s="7">
        <f>-Допущения!$B$12</f>
        <v/>
      </c>
      <c r="K9" s="7">
        <f>-Допущения!$B$12</f>
        <v/>
      </c>
      <c r="L9" s="7">
        <f>-Допущения!$B$12</f>
        <v/>
      </c>
      <c r="M9" s="7">
        <f>-Допущения!$B$12</f>
        <v/>
      </c>
      <c r="N9" s="7">
        <f>-Допущения!$B$12</f>
        <v/>
      </c>
      <c r="O9" s="7">
        <f>-Допущения!$B$12</f>
        <v/>
      </c>
      <c r="P9" s="7">
        <f>-Допущения!$B$12</f>
        <v/>
      </c>
      <c r="Q9" s="7">
        <f>-Допущения!$B$12</f>
        <v/>
      </c>
      <c r="R9" s="7">
        <f>-Допущения!$B$12</f>
        <v/>
      </c>
      <c r="S9" s="7">
        <f>-Допущения!$B$12</f>
        <v/>
      </c>
      <c r="T9" s="7">
        <f>-Допущения!$B$12</f>
        <v/>
      </c>
      <c r="U9" s="7">
        <f>-Допущения!$B$12</f>
        <v/>
      </c>
      <c r="V9" s="7">
        <f>-Допущения!$B$12</f>
        <v/>
      </c>
      <c r="W9" s="7">
        <f>-Допущения!$B$12</f>
        <v/>
      </c>
      <c r="X9" s="7">
        <f>-Допущения!$B$12</f>
        <v/>
      </c>
      <c r="Y9" s="7">
        <f>-Допущения!$B$12</f>
        <v/>
      </c>
    </row>
    <row r="10">
      <c r="A10" s="6" t="inlineStr">
        <is>
          <t>Эквайринг и налог</t>
        </is>
      </c>
      <c r="B10" s="7">
        <f>-B3*Допущения!$B$13</f>
        <v/>
      </c>
      <c r="C10" s="7">
        <f>-C3*Допущения!$B$13</f>
        <v/>
      </c>
      <c r="D10" s="7">
        <f>-D3*Допущения!$B$13</f>
        <v/>
      </c>
      <c r="E10" s="7">
        <f>-E3*Допущения!$B$13</f>
        <v/>
      </c>
      <c r="F10" s="7">
        <f>-F3*Допущения!$B$13</f>
        <v/>
      </c>
      <c r="G10" s="7">
        <f>-G3*Допущения!$B$13</f>
        <v/>
      </c>
      <c r="H10" s="7">
        <f>-H3*Допущения!$B$13</f>
        <v/>
      </c>
      <c r="I10" s="7">
        <f>-I3*Допущения!$B$13</f>
        <v/>
      </c>
      <c r="J10" s="7">
        <f>-J3*Допущения!$B$13</f>
        <v/>
      </c>
      <c r="K10" s="7">
        <f>-K3*Допущения!$B$13</f>
        <v/>
      </c>
      <c r="L10" s="7">
        <f>-L3*Допущения!$B$13</f>
        <v/>
      </c>
      <c r="M10" s="7">
        <f>-M3*Допущения!$B$13</f>
        <v/>
      </c>
      <c r="N10" s="7">
        <f>-N3*Допущения!$B$13</f>
        <v/>
      </c>
      <c r="O10" s="7">
        <f>-O3*Допущения!$B$13</f>
        <v/>
      </c>
      <c r="P10" s="7">
        <f>-P3*Допущения!$B$13</f>
        <v/>
      </c>
      <c r="Q10" s="7">
        <f>-Q3*Допущения!$B$13</f>
        <v/>
      </c>
      <c r="R10" s="7">
        <f>-R3*Допущения!$B$13</f>
        <v/>
      </c>
      <c r="S10" s="7">
        <f>-S3*Допущения!$B$13</f>
        <v/>
      </c>
      <c r="T10" s="7">
        <f>-T3*Допущения!$B$13</f>
        <v/>
      </c>
      <c r="U10" s="7">
        <f>-U3*Допущения!$B$13</f>
        <v/>
      </c>
      <c r="V10" s="7">
        <f>-V3*Допущения!$B$13</f>
        <v/>
      </c>
      <c r="W10" s="7">
        <f>-W3*Допущения!$B$13</f>
        <v/>
      </c>
      <c r="X10" s="7">
        <f>-X3*Допущения!$B$13</f>
        <v/>
      </c>
      <c r="Y10" s="7">
        <f>-Y3*Допущения!$B$13</f>
        <v/>
      </c>
    </row>
    <row r="11">
      <c r="A11" s="4" t="inlineStr">
        <is>
          <t>Операционная прибыль</t>
        </is>
      </c>
      <c r="B11" s="7">
        <f>SUM(B5:B10)</f>
        <v/>
      </c>
      <c r="C11" s="7">
        <f>SUM(C5:C10)</f>
        <v/>
      </c>
      <c r="D11" s="7">
        <f>SUM(D5:D10)</f>
        <v/>
      </c>
      <c r="E11" s="7">
        <f>SUM(E5:E10)</f>
        <v/>
      </c>
      <c r="F11" s="7">
        <f>SUM(F5:F10)</f>
        <v/>
      </c>
      <c r="G11" s="7">
        <f>SUM(G5:G10)</f>
        <v/>
      </c>
      <c r="H11" s="7">
        <f>SUM(H5:H10)</f>
        <v/>
      </c>
      <c r="I11" s="7">
        <f>SUM(I5:I10)</f>
        <v/>
      </c>
      <c r="J11" s="7">
        <f>SUM(J5:J10)</f>
        <v/>
      </c>
      <c r="K11" s="7">
        <f>SUM(K5:K10)</f>
        <v/>
      </c>
      <c r="L11" s="7">
        <f>SUM(L5:L10)</f>
        <v/>
      </c>
      <c r="M11" s="7">
        <f>SUM(M5:M10)</f>
        <v/>
      </c>
      <c r="N11" s="7">
        <f>SUM(N5:N10)</f>
        <v/>
      </c>
      <c r="O11" s="7">
        <f>SUM(O5:O10)</f>
        <v/>
      </c>
      <c r="P11" s="7">
        <f>SUM(P5:P10)</f>
        <v/>
      </c>
      <c r="Q11" s="7">
        <f>SUM(Q5:Q10)</f>
        <v/>
      </c>
      <c r="R11" s="7">
        <f>SUM(R5:R10)</f>
        <v/>
      </c>
      <c r="S11" s="7">
        <f>SUM(S5:S10)</f>
        <v/>
      </c>
      <c r="T11" s="7">
        <f>SUM(T5:T10)</f>
        <v/>
      </c>
      <c r="U11" s="7">
        <f>SUM(U5:U10)</f>
        <v/>
      </c>
      <c r="V11" s="7">
        <f>SUM(V5:V10)</f>
        <v/>
      </c>
      <c r="W11" s="7">
        <f>SUM(W5:W10)</f>
        <v/>
      </c>
      <c r="X11" s="7">
        <f>SUM(X5:X10)</f>
        <v/>
      </c>
      <c r="Y11" s="7">
        <f>SUM(Y5:Y10)</f>
        <v/>
      </c>
    </row>
    <row r="12">
      <c r="A12" s="4" t="inlineStr">
        <is>
          <t>Денежный поток накопленный</t>
        </is>
      </c>
      <c r="B12" s="7">
        <f>-Допущения!$B$3+B11</f>
        <v/>
      </c>
      <c r="C12" s="7">
        <f>B12+C11</f>
        <v/>
      </c>
      <c r="D12" s="7">
        <f>C12+D11</f>
        <v/>
      </c>
      <c r="E12" s="7">
        <f>D12+E11</f>
        <v/>
      </c>
      <c r="F12" s="7">
        <f>E12+F11</f>
        <v/>
      </c>
      <c r="G12" s="7">
        <f>F12+G11</f>
        <v/>
      </c>
      <c r="H12" s="7">
        <f>G12+H11</f>
        <v/>
      </c>
      <c r="I12" s="7">
        <f>H12+I11</f>
        <v/>
      </c>
      <c r="J12" s="7">
        <f>I12+J11</f>
        <v/>
      </c>
      <c r="K12" s="7">
        <f>J12+K11</f>
        <v/>
      </c>
      <c r="L12" s="7">
        <f>K12+L11</f>
        <v/>
      </c>
      <c r="M12" s="7">
        <f>L12+M11</f>
        <v/>
      </c>
      <c r="N12" s="7">
        <f>M12+N11</f>
        <v/>
      </c>
      <c r="O12" s="7">
        <f>N12+O11</f>
        <v/>
      </c>
      <c r="P12" s="7">
        <f>O12+P11</f>
        <v/>
      </c>
      <c r="Q12" s="7">
        <f>P12+Q11</f>
        <v/>
      </c>
      <c r="R12" s="7">
        <f>Q12+R11</f>
        <v/>
      </c>
      <c r="S12" s="7">
        <f>R12+S11</f>
        <v/>
      </c>
      <c r="T12" s="7">
        <f>S12+T11</f>
        <v/>
      </c>
      <c r="U12" s="7">
        <f>T12+U11</f>
        <v/>
      </c>
      <c r="V12" s="7">
        <f>U12+V11</f>
        <v/>
      </c>
      <c r="W12" s="7">
        <f>V12+W11</f>
        <v/>
      </c>
      <c r="X12" s="7">
        <f>W12+X11</f>
        <v/>
      </c>
      <c r="Y12" s="7">
        <f>X12+Y11</f>
        <v/>
      </c>
    </row>
    <row r="14">
      <c r="A14" t="inlineStr">
        <is>
          <t>Сезонный коэффициент</t>
        </is>
      </c>
      <c r="B14" s="8" t="n">
        <v>0.86</v>
      </c>
      <c r="C14" s="8" t="n">
        <v>0.9</v>
      </c>
      <c r="D14" s="8" t="n">
        <v>0.97</v>
      </c>
      <c r="E14" s="8" t="n">
        <v>1.02</v>
      </c>
      <c r="F14" s="8" t="n">
        <v>1.08</v>
      </c>
      <c r="G14" s="8" t="n">
        <v>1.12</v>
      </c>
      <c r="H14" s="8" t="n">
        <v>1.14</v>
      </c>
      <c r="I14" s="8" t="n">
        <v>1.1</v>
      </c>
      <c r="J14" s="8" t="n">
        <v>1.04</v>
      </c>
      <c r="K14" s="8" t="n">
        <v>0.98</v>
      </c>
      <c r="L14" s="8" t="n">
        <v>0.93</v>
      </c>
      <c r="M14" s="8" t="n">
        <v>1.02</v>
      </c>
      <c r="N14" s="8" t="n">
        <v>0.86</v>
      </c>
      <c r="O14" s="8" t="n">
        <v>0.9</v>
      </c>
      <c r="P14" s="8" t="n">
        <v>0.97</v>
      </c>
      <c r="Q14" s="8" t="n">
        <v>1.02</v>
      </c>
      <c r="R14" s="8" t="n">
        <v>1.08</v>
      </c>
      <c r="S14" s="8" t="n">
        <v>1.12</v>
      </c>
      <c r="T14" s="8" t="n">
        <v>1.14</v>
      </c>
      <c r="U14" s="8" t="n">
        <v>1.1</v>
      </c>
      <c r="V14" s="8" t="n">
        <v>1.04</v>
      </c>
      <c r="W14" s="8" t="n">
        <v>0.98</v>
      </c>
      <c r="X14" s="8" t="n">
        <v>0.93</v>
      </c>
      <c r="Y14" s="8" t="n">
        <v>1.02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</cols>
  <sheetData>
    <row r="1">
      <c r="A1" s="1" t="inlineStr">
        <is>
          <t>Ключевые показатели</t>
        </is>
      </c>
    </row>
    <row r="3">
      <c r="A3" t="inlineStr">
        <is>
          <t>Выручка за 2 года, ₽</t>
        </is>
      </c>
      <c r="B3" s="9">
        <f>SUM('P&amp;L'!B3:Y3)</f>
        <v/>
      </c>
    </row>
    <row r="4">
      <c r="A4" t="inlineStr">
        <is>
          <t>Операционная прибыль за 2 года, ₽</t>
        </is>
      </c>
      <c r="B4" s="9">
        <f>SUM('P&amp;L'!B11:Y11)</f>
        <v/>
      </c>
    </row>
    <row r="5">
      <c r="A5" t="inlineStr">
        <is>
          <t>Первый прибыльный месяц</t>
        </is>
      </c>
      <c r="B5" s="9">
        <f>IFERROR(MATCH(TRUE,INDEX('P&amp;L'!B11:Y11&gt;0,0),0),"нет")</f>
        <v/>
      </c>
    </row>
    <row r="6">
      <c r="A6" t="inlineStr">
        <is>
          <t>Месяц окупаемости</t>
        </is>
      </c>
      <c r="B6" s="9">
        <f>IFERROR(MATCH(TRUE,INDEX('P&amp;L'!B12:Y12&gt;=0,0),0),"&gt; 24")</f>
        <v/>
      </c>
    </row>
    <row r="7">
      <c r="A7" t="inlineStr">
        <is>
          <t>Точка безубыточности, чеков в день</t>
        </is>
      </c>
      <c r="B7" s="9">
        <f>(Допущения!$B$10+Допущения!$B$11+Допущения!$B$12+Допущения!$B$15)/(Допущения!$B$4*Допущения!$B$8*(1-Допущения!$B$9-Допущения!$B$13))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2026-09-29T14:15:05Z</dcterms:created>
  <dcterms:modified xmlns:dcterms="http://purl.org/dc/terms/" xmlns:xsi="http://www.w3.org/2001/XMLSchema-instance" xsi:type="dcterms:W3CDTF">2026-09-29T14:15:05Z</dcterms:modified>
</cp:coreProperties>
</file>